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mse5\Desktop\연구실\출장용\2025.11.18_VMS 출장 데이터\신규\"/>
    </mc:Choice>
  </mc:AlternateContent>
  <xr:revisionPtr revIDLastSave="0" documentId="13_ncr:1_{CBAAEF4E-4761-4340-A886-E27466B807AC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통합" sheetId="1" r:id="rId1"/>
    <sheet name="시나리오별 결과" sheetId="6" r:id="rId2"/>
    <sheet name="시나리오별 조건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D5" i="1" s="1"/>
</calcChain>
</file>

<file path=xl/sharedStrings.xml><?xml version="1.0" encoding="utf-8"?>
<sst xmlns="http://schemas.openxmlformats.org/spreadsheetml/2006/main" count="181" uniqueCount="83">
  <si>
    <t>Meta</t>
  </si>
  <si>
    <t>{'Dist_Type': 'GAUSSIAN', 'mean': 12, 'std': 1} {'Dist_Type': 'GAUSSIAN', 'mean': 1, 'std': 0}</t>
  </si>
  <si>
    <t>{'Dist_Type': 'GAUSSIAN', 'mean': 12, 'std': 1} {'Dist_Type': 'GAUSSIAN', 'mean': 1, 'std': 1}</t>
  </si>
  <si>
    <t>{'Dist_Type': 'GAUSSIAN', 'mean': 12, 'std': 1} {'Dist_Type': 'GAUSSIAN', 'mean': 1, 'std': 2}</t>
  </si>
  <si>
    <t>{'Dist_Type': 'GAUSSIAN', 'mean': 13, 'std': 1} {'Dist_Type': 'GAUSSIAN', 'mean': 1, 'std': 0}</t>
  </si>
  <si>
    <t>{'Dist_Type': 'GAUSSIAN', 'mean': 13, 'std': 1} {'Dist_Type': 'GAUSSIAN', 'mean': 1, 'std': 1}</t>
  </si>
  <si>
    <t>{'Dist_Type': 'GAUSSIAN', 'mean': 13, 'std': 1} {'Dist_Type': 'GAUSSIAN', 'mean': 1, 'std': 2}</t>
  </si>
  <si>
    <t>{'Dist_Type': 'GAUSSIAN', 'mean': 14, 'std': 1} {'Dist_Type': 'GAUSSIAN', 'mean': 1, 'std': 0}</t>
  </si>
  <si>
    <t>{'Dist_Type': 'GAUSSIAN', 'mean': 14, 'std': 1} {'Dist_Type': 'GAUSSIAN', 'mean': 1, 'std': 1}</t>
  </si>
  <si>
    <t>{'Dist_Type': 'GAUSSIAN', 'mean': 14, 'std': 1} {'Dist_Type': 'GAUSSIAN', 'mean': 1, 'std': 2}</t>
  </si>
  <si>
    <t>Gaussian</t>
    <phoneticPr fontId="1" type="noConversion"/>
  </si>
  <si>
    <t>Uniform</t>
    <phoneticPr fontId="1" type="noConversion"/>
  </si>
  <si>
    <t>Demand: {'Dist_Type': 'UNIFORM', 'min': 11, 'max': 13} Leadtime: {'Dist_Type': 'GAUSSIAN', 'mean': 1, 'std': 1}</t>
  </si>
  <si>
    <t>Demand: {'Dist_Type': 'UNIFORM', 'min': 11, 'max': 13} Leadtime: {'Dist_Type': 'GAUSSIAN', 'mean': 2, 'std': 1}</t>
  </si>
  <si>
    <t>Demand: {'Dist_Type': 'UNIFORM', 'min': 12, 'max': 14} Leadtime: {'Dist_Type': 'GAUSSIAN', 'mean': 1, 'std': 1}</t>
  </si>
  <si>
    <t>Demand: {'Dist_Type': 'UNIFORM', 'min': 12, 'max': 14} Leadtime: {'Dist_Type': 'GAUSSIAN', 'mean': 2, 'std': 1}</t>
  </si>
  <si>
    <t>Demand: {'Dist_Type': 'UNIFORM', 'min': 13, 'max': 15} Leadtime: {'Dist_Type': 'GAUSSIAN', 'mean': 1, 'std': 1}</t>
  </si>
  <si>
    <t>Complex</t>
    <phoneticPr fontId="1" type="noConversion"/>
  </si>
  <si>
    <t>정량평가 10번: 메타러닝 기법 적용을 통한 강화학습 알고리즘 학습 성능 개선 승률</t>
    <phoneticPr fontId="1" type="noConversion"/>
  </si>
  <si>
    <t>실험결과 (통합)</t>
    <phoneticPr fontId="1" type="noConversion"/>
  </si>
  <si>
    <t>정량평가 방법 (사업계획서 명시 내용)</t>
    <phoneticPr fontId="1" type="noConversion"/>
  </si>
  <si>
    <t xml:space="preserve">메타러닝 적용 </t>
    <phoneticPr fontId="1" type="noConversion"/>
  </si>
  <si>
    <t xml:space="preserve">강화학습 적용 </t>
    <phoneticPr fontId="1" type="noConversion"/>
  </si>
  <si>
    <t>총 시나리오 개수</t>
    <phoneticPr fontId="1" type="noConversion"/>
  </si>
  <si>
    <t>Case</t>
    <phoneticPr fontId="1" type="noConversion"/>
  </si>
  <si>
    <t>Scenario</t>
    <phoneticPr fontId="1" type="noConversion"/>
  </si>
  <si>
    <t>다 나은 결과를 보인 
방법론</t>
    <phoneticPr fontId="1" type="noConversion"/>
  </si>
  <si>
    <t>학습 성능 
개선 승률 (%)</t>
    <phoneticPr fontId="1" type="noConversion"/>
  </si>
  <si>
    <t>메타학습이 더 나은 시나리오</t>
    <phoneticPr fontId="1" type="noConversion"/>
  </si>
  <si>
    <t>강화학습이 더 나은 시나리오</t>
    <phoneticPr fontId="1" type="noConversion"/>
  </si>
  <si>
    <t>시나리오별 분포함수 
(Demand; Leadtime)</t>
    <phoneticPr fontId="1" type="noConversion"/>
  </si>
  <si>
    <t>실험 환경</t>
    <phoneticPr fontId="1" type="noConversion"/>
  </si>
  <si>
    <t>RL</t>
    <phoneticPr fontId="1" type="noConversion"/>
  </si>
  <si>
    <t>META</t>
    <phoneticPr fontId="1" type="noConversion"/>
  </si>
  <si>
    <t>Total cost
(200 days; 15번 반복 실험에 대한 평균; 
1000 에피소드 학습 기준)</t>
    <phoneticPr fontId="1" type="noConversion"/>
  </si>
  <si>
    <t>Assembly Process 시나리오</t>
    <phoneticPr fontId="1" type="noConversion"/>
  </si>
  <si>
    <t>* 공인인증기관의 인증을 통해 목표항목 평가
* (1) 메타러닝 기법을 활용한 강화학습 알고리즘 적용결과 도출되는 가치사슬 운영전략 KPI의 (2) 메타러닝 기법을 활용하지 않은 강화학습 알고리즘 적용결과에 따른 KPI 대비 개선여부 확인
* 30개 이상의 시나리오에 대해 각 강화학습 알고리즘 수행 후 KPI를 비교하여 실제 개선이 일어난 사례의 비율 측정
* (학습성능 개선 승률) = 100 X (KPI 개선 건수)/(평가 시나리오 수)
* 공인인증기관 입회하에 평가
* 수요기업의 가치사슬 운영 데이터를 활용하여 30개 이상의 데이터 셋 구축</t>
    <phoneticPr fontId="1" type="noConversion"/>
  </si>
  <si>
    <t>cost 이름</t>
    <phoneticPr fontId="1" type="noConversion"/>
  </si>
  <si>
    <t>발생 원인</t>
    <phoneticPr fontId="1" type="noConversion"/>
  </si>
  <si>
    <t>단위 시간당 생산 과정에서 발생하는 비용</t>
    <phoneticPr fontId="1" type="noConversion"/>
  </si>
  <si>
    <t>Holding cost</t>
    <phoneticPr fontId="1" type="noConversion"/>
  </si>
  <si>
    <t>Process cost</t>
    <phoneticPr fontId="1" type="noConversion"/>
  </si>
  <si>
    <t>Delivery cost</t>
    <phoneticPr fontId="1" type="noConversion"/>
  </si>
  <si>
    <t>Order cost</t>
    <phoneticPr fontId="1" type="noConversion"/>
  </si>
  <si>
    <t>Shortage cost</t>
    <phoneticPr fontId="1" type="noConversion"/>
  </si>
  <si>
    <t>고객의 주문을 만족시키지 못했을 때 발생하는 재고당 비용</t>
    <phoneticPr fontId="1" type="noConversion"/>
  </si>
  <si>
    <t>Total cost(reward)</t>
    <phoneticPr fontId="1" type="noConversion"/>
  </si>
  <si>
    <t>Process cost + Process cost + Delivery cost + Order cost + Shortage Cost</t>
    <phoneticPr fontId="1" type="noConversion"/>
  </si>
  <si>
    <t>보유시간, 보유재고당 재고 보관 비용</t>
    <phoneticPr fontId="1" type="noConversion"/>
  </si>
  <si>
    <t>구매재고당 구매할 때 발생하는 비용</t>
    <phoneticPr fontId="1" type="noConversion"/>
  </si>
  <si>
    <t>배송재고당 Product 배송 비용</t>
    <phoneticPr fontId="1" type="noConversion"/>
  </si>
  <si>
    <t>Demand: {'Dist_Type': 'UNIFORM', 'min': 11, 'max': 15} Leadtime: {'Dist_Type': 'GAUSSIAN', 'mean': 1, 'std': 1}</t>
  </si>
  <si>
    <t>{'Dist_Type': 'GAUSSIAN', 'mean': 12, 'std': 1} {'Dist_Type': 'GAUSSIAN', 'mean': 1, 'std': 3}</t>
  </si>
  <si>
    <t>{'Dist_Type': 'GAUSSIAN', 'mean': 12, 'std': 1} {'Dist_Type': 'GAUSSIAN', 'mean': 1, 'std': 4}</t>
  </si>
  <si>
    <t>{'Dist_Type': 'GAUSSIAN', 'mean': 13, 'std': 1} {'Dist_Type': 'GAUSSIAN', 'mean': 1, 'std': 3}</t>
  </si>
  <si>
    <t>{'Dist_Type': 'GAUSSIAN', 'mean': 13, 'std': 1} {'Dist_Type': 'GAUSSIAN', 'mean': 1, 'std': 4}</t>
  </si>
  <si>
    <t>{'Dist_Type': 'GAUSSIAN', 'mean': 14, 'std': 1} {'Dist_Type': 'GAUSSIAN', 'mean': 1, 'std': 3}</t>
  </si>
  <si>
    <t>{'Dist_Type': 'GAUSSIAN', 'mean': 14, 'std': 1} {'Dist_Type': 'GAUSSIAN', 'mean': 1, 'std': 4}</t>
  </si>
  <si>
    <t>{'Dist_Type': 'UNIFORM', 'min': 10, 'max': 14} {'Dist_Type': 'UNIFORM', 'min': 0, 'max': 2}</t>
  </si>
  <si>
    <t>{'Dist_Type': 'UNIFORM', 'min': 10, 'max': 14} {'Dist_Type': 'UNIFORM', 'min': 1, 'max': 3}</t>
  </si>
  <si>
    <t>{'Dist_Type': 'UNIFORM', 'min': 10, 'max': 13} {'Dist_Type': 'UNIFORM', 'min': 0, 'max': 2}</t>
  </si>
  <si>
    <t>{'Dist_Type': 'UNIFORM', 'min': 10, 'max': 13} {'Dist_Type': 'UNIFORM', 'min': 1, 'max': 3}</t>
  </si>
  <si>
    <t>{'Dist_Type': 'UNIFORM', 'min': 11, 'max': 13} {'Dist_Type': 'UNIFORM', 'min': 0, 'max': 2}</t>
  </si>
  <si>
    <t>{'Dist_Type': 'UNIFORM', 'min': 11, 'max': 13} {'Dist_Type': 'UNIFORM', 'min': 1, 'max': 3}</t>
  </si>
  <si>
    <t>{'Dist_Type': 'UNIFORM', 'min': 11, 'max': 15} {'Dist_Type': 'UNIFORM', 'min': 0, 'max': 2}</t>
  </si>
  <si>
    <t>{'Dist_Type': 'UNIFORM', 'min': 11, 'max': 15} {'Dist_Type': 'UNIFORM', 'min': 1, 'max': 3}</t>
  </si>
  <si>
    <t>{'Dist_Type': 'UNIFORM', 'min': 12, 'max': 14} {'Dist_Type': 'UNIFORM', 'min': 0, 'max': 2}</t>
  </si>
  <si>
    <t>{'Dist_Type': 'UNIFORM', 'min': 12, 'max': 14} {'Dist_Type': 'UNIFORM', 'min': 1, 'max': 3}</t>
  </si>
  <si>
    <t>{'Dist_Type': 'UNIFORM', 'min': 12, 'max': 16} {'Dist_Type': 'UNIFORM', 'min': 0, 'max': 2}</t>
  </si>
  <si>
    <t>{'Dist_Type': 'UNIFORM', 'min': 12, 'max': 16} {'Dist_Type': 'UNIFORM', 'min': 1, 'max': 3}</t>
  </si>
  <si>
    <t>{'Dist_Type': 'UNIFORM', 'min': 13, 'max': 15} {'Dist_Type': 'UNIFORM', 'min': 0, 'max': 2}</t>
  </si>
  <si>
    <t>{'Dist_Type': 'UNIFORM', 'min': 13, 'max': 15} {'Dist_Type': 'UNIFORM', 'min': 1, 'max': 3}</t>
  </si>
  <si>
    <t>{'Dist_Type': 'UNIFORM', 'min': 13, 'max': 14} {'Dist_Type': 'UNIFORM', 'min': 0, 'max': 2}</t>
  </si>
  <si>
    <t>Demand: {'Dist_Type': 'UNIFORM', 'min': 11, 'max': 14} Leadtime: {'Dist_Type': 'GAUSSIAN', 'mean': 2, 'std': 1}</t>
  </si>
  <si>
    <t>Demand: {'Dist_Type': 'UNIFORM', 'min': 11, 'max': 14} Leadtime: {'Dist_Type': 'GAUSSIAN', 'mean': 1, 'std': 1}</t>
  </si>
  <si>
    <t>Demand: {'Dist_Type': 'UNIFORM', 'min': 12, 'max': 15} Leadtime: {'Dist_Type': 'GAUSSIAN', 'mean': 1, 'std': 1}</t>
  </si>
  <si>
    <t>Demand: {'Dist_Type': 'UNIFORM', 'min': 12, 'max': 15} Leadtime: {'Dist_Type': 'GAUSSIAN', 'mean': 2, 'std': 1}</t>
  </si>
  <si>
    <t>Demand: {'Dist_Type': 'UNIFORM', 'min': 12, 'max': 13} Leadtime: {'Dist_Type': 'GAUSSIAN', 'mean': 1, 'std': 1}</t>
  </si>
  <si>
    <t>Demand: {'Dist_Type': 'UNIFORM', 'min': 13, 'max': 15} Leadtime: {'Dist_Type': 'GAUSSIAN', 'mean': 2, 'std': 1}</t>
  </si>
  <si>
    <t>Demand: {'Dist_Type': 'UNIFORM', 'min': 13, 'max': 14} Leadtime: {'Dist_Type': 'GAUSSIAN', 'mean': 1, 'std': 1}</t>
  </si>
  <si>
    <t>Demand: {'Dist_Type': 'UNIFORM', 'min': 13, 'max': 13} Leadtime: {'Dist_Type': 'GAUSSIAN', 'mean': 1, 'std': 1}</t>
  </si>
  <si>
    <t>특정 방법론이 더 좋은 결과가 나왔던 
시나리오의 개수</t>
    <phoneticPr fontId="1" type="noConversion"/>
  </si>
  <si>
    <t>* CPU: 인텔 코어 14세대 i5-14600KF
* RAM: 삼성 DDR5 16G PC5-44800
* 그래픽카드: 지포스 RTX 4070
* OS: Windows 11 Pro / 64bit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</si>
</sst>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_-* #,##0.00_-;\-* #,##0.0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7C7AC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0" xfId="0" applyFont="1" applyBorder="1" applyAlignment="1">
      <alignment horizontal="center" vertical="center" wrapText="1"/>
    </xf>
    <xf numFmtId="0" fontId="0" fillId="0" borderId="12" xfId="0" applyBorder="1">
      <alignment vertical="center"/>
    </xf>
    <xf numFmtId="0" fontId="0" fillId="7" borderId="12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 wrapText="1"/>
    </xf>
    <xf numFmtId="0" fontId="0" fillId="7" borderId="12" xfId="0" applyFill="1" applyBorder="1">
      <alignment vertical="center"/>
    </xf>
    <xf numFmtId="0" fontId="0" fillId="8" borderId="0" xfId="0" applyFill="1">
      <alignment vertical="center"/>
    </xf>
    <xf numFmtId="0" fontId="0" fillId="4" borderId="0" xfId="0" applyFill="1">
      <alignment vertical="center"/>
    </xf>
    <xf numFmtId="0" fontId="0" fillId="4" borderId="2" xfId="0" applyFill="1" applyBorder="1">
      <alignment vertical="center"/>
    </xf>
    <xf numFmtId="0" fontId="0" fillId="4" borderId="7" xfId="0" applyFill="1" applyBorder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13" borderId="2" xfId="0" applyFill="1" applyBorder="1">
      <alignment vertical="center"/>
    </xf>
    <xf numFmtId="0" fontId="0" fillId="0" borderId="7" xfId="0" applyBorder="1">
      <alignment vertical="center"/>
    </xf>
    <xf numFmtId="0" fontId="0" fillId="14" borderId="0" xfId="0" applyFill="1">
      <alignment vertical="center"/>
    </xf>
    <xf numFmtId="0" fontId="0" fillId="14" borderId="7" xfId="0" applyFill="1" applyBorder="1">
      <alignment vertical="center"/>
    </xf>
    <xf numFmtId="0" fontId="0" fillId="13" borderId="7" xfId="0" applyFill="1" applyBorder="1">
      <alignment vertical="center"/>
    </xf>
    <xf numFmtId="0" fontId="0" fillId="13" borderId="5" xfId="0" applyFill="1" applyBorder="1">
      <alignment vertical="center"/>
    </xf>
    <xf numFmtId="42" fontId="0" fillId="0" borderId="0" xfId="0" applyNumberFormat="1">
      <alignment vertical="center"/>
    </xf>
    <xf numFmtId="41" fontId="0" fillId="0" borderId="1" xfId="0" applyNumberFormat="1" applyBorder="1">
      <alignment vertical="center"/>
    </xf>
    <xf numFmtId="41" fontId="0" fillId="13" borderId="3" xfId="0" applyNumberFormat="1" applyFill="1" applyBorder="1">
      <alignment vertical="center"/>
    </xf>
    <xf numFmtId="41" fontId="0" fillId="0" borderId="4" xfId="0" applyNumberFormat="1" applyBorder="1">
      <alignment vertical="center"/>
    </xf>
    <xf numFmtId="41" fontId="0" fillId="13" borderId="5" xfId="0" applyNumberFormat="1" applyFill="1" applyBorder="1">
      <alignment vertical="center"/>
    </xf>
    <xf numFmtId="41" fontId="0" fillId="14" borderId="4" xfId="0" applyNumberFormat="1" applyFill="1" applyBorder="1">
      <alignment vertical="center"/>
    </xf>
    <xf numFmtId="41" fontId="0" fillId="0" borderId="5" xfId="0" applyNumberFormat="1" applyBorder="1">
      <alignment vertical="center"/>
    </xf>
    <xf numFmtId="41" fontId="0" fillId="14" borderId="6" xfId="0" applyNumberFormat="1" applyFill="1" applyBorder="1">
      <alignment vertical="center"/>
    </xf>
    <xf numFmtId="41" fontId="0" fillId="0" borderId="8" xfId="0" applyNumberFormat="1" applyBorder="1">
      <alignment vertical="center"/>
    </xf>
    <xf numFmtId="0" fontId="0" fillId="14" borderId="2" xfId="0" applyFill="1" applyBorder="1">
      <alignment vertical="center"/>
    </xf>
    <xf numFmtId="41" fontId="0" fillId="0" borderId="5" xfId="0" applyNumberFormat="1" applyBorder="1" applyAlignment="1"/>
    <xf numFmtId="0" fontId="0" fillId="4" borderId="3" xfId="0" applyFill="1" applyBorder="1">
      <alignment vertical="center"/>
    </xf>
    <xf numFmtId="0" fontId="0" fillId="4" borderId="5" xfId="0" applyFill="1" applyBorder="1">
      <alignment vertical="center"/>
    </xf>
    <xf numFmtId="0" fontId="0" fillId="14" borderId="5" xfId="0" applyFill="1" applyBorder="1">
      <alignment vertical="center"/>
    </xf>
    <xf numFmtId="0" fontId="0" fillId="4" borderId="8" xfId="0" applyFill="1" applyBorder="1">
      <alignment vertical="center"/>
    </xf>
    <xf numFmtId="0" fontId="0" fillId="14" borderId="3" xfId="0" applyFill="1" applyBorder="1">
      <alignment vertical="center"/>
    </xf>
    <xf numFmtId="0" fontId="0" fillId="14" borderId="8" xfId="0" applyFill="1" applyBorder="1">
      <alignment vertical="center"/>
    </xf>
    <xf numFmtId="0" fontId="0" fillId="0" borderId="10" xfId="0" applyBorder="1">
      <alignment vertical="center"/>
    </xf>
    <xf numFmtId="0" fontId="3" fillId="7" borderId="12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5" borderId="0" xfId="0" applyFill="1" applyAlignment="1">
      <alignment horizontal="left" vertical="top" wrapText="1"/>
    </xf>
    <xf numFmtId="0" fontId="0" fillId="5" borderId="0" xfId="0" applyFill="1" applyAlignment="1">
      <alignment horizontal="left" vertical="top"/>
    </xf>
    <xf numFmtId="0" fontId="3" fillId="9" borderId="0" xfId="0" applyFont="1" applyFill="1" applyAlignment="1">
      <alignment horizontal="center" vertical="center"/>
    </xf>
    <xf numFmtId="0" fontId="0" fillId="10" borderId="0" xfId="0" applyFill="1" applyAlignment="1">
      <alignment horizontal="left" vertical="top" wrapText="1"/>
    </xf>
    <xf numFmtId="176" fontId="3" fillId="2" borderId="12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7C7AC"/>
      <color rgb="FFB5E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15</xdr:row>
      <xdr:rowOff>38100</xdr:rowOff>
    </xdr:from>
    <xdr:to>
      <xdr:col>1</xdr:col>
      <xdr:colOff>5071029</xdr:colOff>
      <xdr:row>30</xdr:row>
      <xdr:rowOff>133801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A5D327E-35E7-70E9-88DD-B5C184881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4900" y="5562600"/>
          <a:ext cx="5334744" cy="3238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zoomScale="55" zoomScaleNormal="55" workbookViewId="0">
      <selection activeCell="L20" sqref="L20"/>
    </sheetView>
  </sheetViews>
  <sheetFormatPr defaultRowHeight="17.399999999999999" x14ac:dyDescent="0.4"/>
  <cols>
    <col min="1" max="1" width="17.5" bestFit="1" customWidth="1"/>
    <col min="2" max="2" width="67.09765625" bestFit="1" customWidth="1"/>
    <col min="8" max="8" width="9.69921875" customWidth="1"/>
  </cols>
  <sheetData>
    <row r="1" spans="1:8" ht="25.2" x14ac:dyDescent="0.4">
      <c r="A1" s="42" t="s">
        <v>19</v>
      </c>
      <c r="B1" s="42"/>
      <c r="C1" s="42"/>
      <c r="D1" s="42"/>
      <c r="E1" s="42"/>
      <c r="F1" s="42"/>
      <c r="G1" s="42"/>
      <c r="H1" s="42"/>
    </row>
    <row r="2" spans="1:8" x14ac:dyDescent="0.4">
      <c r="A2" s="43" t="s">
        <v>18</v>
      </c>
      <c r="B2" s="43"/>
      <c r="C2" s="43"/>
      <c r="D2" s="43"/>
      <c r="E2" s="43"/>
      <c r="F2" s="43"/>
      <c r="G2" s="43"/>
      <c r="H2" s="43"/>
    </row>
    <row r="3" spans="1:8" x14ac:dyDescent="0.4">
      <c r="A3" s="1"/>
      <c r="B3" s="1"/>
      <c r="C3" s="1"/>
      <c r="D3" s="1"/>
      <c r="E3" s="1"/>
      <c r="F3" s="1"/>
      <c r="G3" s="1"/>
      <c r="H3" s="1"/>
    </row>
    <row r="4" spans="1:8" ht="34.799999999999997" x14ac:dyDescent="0.4">
      <c r="A4" s="6"/>
      <c r="B4" s="7" t="s">
        <v>81</v>
      </c>
      <c r="D4" s="41" t="s">
        <v>27</v>
      </c>
      <c r="E4" s="41"/>
      <c r="G4" s="1"/>
      <c r="H4" s="1"/>
    </row>
    <row r="5" spans="1:8" x14ac:dyDescent="0.4">
      <c r="A5" s="8" t="s">
        <v>21</v>
      </c>
      <c r="B5" s="5">
        <v>38</v>
      </c>
      <c r="D5" s="50">
        <f>B5/B7*100</f>
        <v>84.444444444444443</v>
      </c>
      <c r="E5" s="50"/>
    </row>
    <row r="6" spans="1:8" x14ac:dyDescent="0.4">
      <c r="A6" s="8" t="s">
        <v>22</v>
      </c>
      <c r="B6" s="5">
        <v>7</v>
      </c>
    </row>
    <row r="7" spans="1:8" x14ac:dyDescent="0.4">
      <c r="A7" s="8" t="s">
        <v>23</v>
      </c>
      <c r="B7" s="5">
        <f>B5+B6</f>
        <v>45</v>
      </c>
    </row>
    <row r="9" spans="1:8" x14ac:dyDescent="0.4">
      <c r="A9" s="45" t="s">
        <v>20</v>
      </c>
      <c r="B9" s="45"/>
      <c r="C9" s="45"/>
      <c r="D9" s="45"/>
      <c r="E9" s="45"/>
      <c r="F9" s="45"/>
      <c r="G9" s="45"/>
      <c r="H9" s="45"/>
    </row>
    <row r="10" spans="1:8" ht="122.25" customHeight="1" x14ac:dyDescent="0.4">
      <c r="A10" s="46" t="s">
        <v>36</v>
      </c>
      <c r="B10" s="47"/>
      <c r="C10" s="47"/>
      <c r="D10" s="47"/>
      <c r="E10" s="47"/>
      <c r="F10" s="47"/>
      <c r="G10" s="47"/>
      <c r="H10" s="47"/>
    </row>
    <row r="12" spans="1:8" x14ac:dyDescent="0.4">
      <c r="A12" s="48" t="s">
        <v>31</v>
      </c>
      <c r="B12" s="48"/>
      <c r="C12" s="48"/>
      <c r="D12" s="48"/>
      <c r="E12" s="48"/>
      <c r="F12" s="48"/>
      <c r="G12" s="48"/>
      <c r="H12" s="48"/>
    </row>
    <row r="13" spans="1:8" ht="72" customHeight="1" x14ac:dyDescent="0.4">
      <c r="A13" s="49" t="s">
        <v>82</v>
      </c>
      <c r="B13" s="49"/>
      <c r="C13" s="49"/>
      <c r="D13" s="49"/>
      <c r="E13" s="49"/>
      <c r="F13" s="49"/>
      <c r="G13" s="49"/>
      <c r="H13" s="49"/>
    </row>
    <row r="15" spans="1:8" x14ac:dyDescent="0.4">
      <c r="A15" s="44" t="s">
        <v>35</v>
      </c>
      <c r="B15" s="44"/>
      <c r="C15" s="44"/>
      <c r="D15" s="44"/>
      <c r="E15" s="44"/>
      <c r="F15" s="44"/>
      <c r="G15" s="44"/>
      <c r="H15" s="44"/>
    </row>
    <row r="16" spans="1:8" x14ac:dyDescent="0.4">
      <c r="A16" s="15"/>
      <c r="B16" s="15"/>
      <c r="C16" s="15"/>
      <c r="D16" s="15"/>
      <c r="E16" s="15"/>
      <c r="F16" s="15"/>
      <c r="G16" s="15"/>
      <c r="H16" s="15"/>
    </row>
    <row r="17" spans="1:8" x14ac:dyDescent="0.4">
      <c r="A17" s="15"/>
      <c r="B17" s="15"/>
      <c r="C17" s="15"/>
      <c r="D17" s="15"/>
      <c r="E17" s="15"/>
      <c r="F17" s="15"/>
      <c r="G17" s="15"/>
      <c r="H17" s="15"/>
    </row>
    <row r="18" spans="1:8" x14ac:dyDescent="0.4">
      <c r="A18" s="15"/>
      <c r="B18" s="15"/>
      <c r="C18" s="15"/>
      <c r="D18" s="15"/>
      <c r="E18" s="15"/>
      <c r="F18" s="15"/>
      <c r="G18" s="15"/>
      <c r="H18" s="15"/>
    </row>
    <row r="19" spans="1:8" x14ac:dyDescent="0.4">
      <c r="A19" s="15"/>
      <c r="B19" s="15"/>
      <c r="C19" s="15"/>
      <c r="D19" s="15"/>
      <c r="E19" s="15"/>
      <c r="F19" s="15"/>
      <c r="G19" s="15"/>
      <c r="H19" s="15"/>
    </row>
    <row r="20" spans="1:8" x14ac:dyDescent="0.4">
      <c r="A20" s="15"/>
      <c r="B20" s="15"/>
      <c r="C20" s="15"/>
      <c r="D20" s="15"/>
      <c r="E20" s="15"/>
      <c r="F20" s="15"/>
      <c r="G20" s="15"/>
      <c r="H20" s="15"/>
    </row>
    <row r="21" spans="1:8" x14ac:dyDescent="0.4">
      <c r="A21" s="15"/>
      <c r="B21" s="15"/>
      <c r="C21" s="15"/>
      <c r="D21" s="15"/>
      <c r="E21" s="15"/>
      <c r="F21" s="15"/>
      <c r="G21" s="15"/>
      <c r="H21" s="15"/>
    </row>
    <row r="22" spans="1:8" x14ac:dyDescent="0.4">
      <c r="A22" s="15"/>
      <c r="B22" s="15"/>
      <c r="C22" s="15"/>
      <c r="D22" s="15"/>
      <c r="E22" s="15"/>
      <c r="F22" s="15"/>
      <c r="G22" s="15"/>
      <c r="H22" s="15"/>
    </row>
    <row r="23" spans="1:8" x14ac:dyDescent="0.4">
      <c r="A23" s="15"/>
      <c r="B23" s="15"/>
      <c r="C23" s="15"/>
      <c r="D23" s="15"/>
      <c r="E23" s="15"/>
      <c r="F23" s="15"/>
      <c r="G23" s="15"/>
      <c r="H23" s="15"/>
    </row>
    <row r="24" spans="1:8" x14ac:dyDescent="0.4">
      <c r="A24" s="15"/>
      <c r="B24" s="15"/>
      <c r="C24" s="15"/>
      <c r="D24" s="15"/>
      <c r="E24" s="15"/>
      <c r="F24" s="15"/>
      <c r="G24" s="15"/>
      <c r="H24" s="15"/>
    </row>
    <row r="25" spans="1:8" x14ac:dyDescent="0.4">
      <c r="A25" s="15"/>
      <c r="B25" s="15"/>
      <c r="C25" s="15"/>
      <c r="D25" s="15"/>
      <c r="E25" s="15"/>
      <c r="F25" s="15"/>
      <c r="G25" s="15"/>
      <c r="H25" s="15"/>
    </row>
    <row r="26" spans="1:8" x14ac:dyDescent="0.4">
      <c r="A26" s="15"/>
      <c r="B26" s="15"/>
      <c r="C26" s="15"/>
      <c r="D26" s="15"/>
      <c r="E26" s="15"/>
      <c r="F26" s="15"/>
      <c r="G26" s="15"/>
      <c r="H26" s="15"/>
    </row>
    <row r="27" spans="1:8" x14ac:dyDescent="0.4">
      <c r="A27" s="15"/>
      <c r="B27" s="15"/>
      <c r="C27" s="15"/>
      <c r="D27" s="15"/>
      <c r="E27" s="15"/>
      <c r="F27" s="15"/>
      <c r="G27" s="15"/>
      <c r="H27" s="15"/>
    </row>
    <row r="28" spans="1:8" x14ac:dyDescent="0.4">
      <c r="A28" s="15"/>
      <c r="B28" s="15"/>
      <c r="C28" s="15"/>
      <c r="D28" s="15"/>
      <c r="E28" s="15"/>
      <c r="F28" s="15"/>
      <c r="G28" s="15"/>
      <c r="H28" s="15"/>
    </row>
    <row r="29" spans="1:8" x14ac:dyDescent="0.4">
      <c r="A29" s="15"/>
      <c r="B29" s="15"/>
      <c r="C29" s="15"/>
      <c r="D29" s="15"/>
      <c r="E29" s="15"/>
      <c r="F29" s="15"/>
      <c r="G29" s="15"/>
      <c r="H29" s="15"/>
    </row>
    <row r="30" spans="1:8" x14ac:dyDescent="0.4">
      <c r="A30" s="15"/>
      <c r="B30" s="15"/>
      <c r="C30" s="15"/>
      <c r="D30" s="15"/>
      <c r="E30" s="15"/>
      <c r="F30" s="15"/>
      <c r="G30" s="15"/>
      <c r="H30" s="15"/>
    </row>
    <row r="31" spans="1:8" x14ac:dyDescent="0.4">
      <c r="A31" s="15"/>
      <c r="B31" s="15"/>
      <c r="C31" s="15"/>
      <c r="D31" s="15"/>
      <c r="E31" s="15"/>
      <c r="F31" s="15"/>
      <c r="G31" s="15"/>
      <c r="H31" s="15"/>
    </row>
    <row r="32" spans="1:8" x14ac:dyDescent="0.4">
      <c r="A32" s="5" t="s">
        <v>37</v>
      </c>
      <c r="B32" s="5" t="s">
        <v>38</v>
      </c>
    </row>
    <row r="33" spans="1:2" x14ac:dyDescent="0.4">
      <c r="A33" s="5" t="s">
        <v>41</v>
      </c>
      <c r="B33" s="5" t="s">
        <v>39</v>
      </c>
    </row>
    <row r="34" spans="1:2" x14ac:dyDescent="0.4">
      <c r="A34" s="5" t="s">
        <v>40</v>
      </c>
      <c r="B34" s="5" t="s">
        <v>48</v>
      </c>
    </row>
    <row r="35" spans="1:2" x14ac:dyDescent="0.4">
      <c r="A35" s="5" t="s">
        <v>42</v>
      </c>
      <c r="B35" s="5" t="s">
        <v>50</v>
      </c>
    </row>
    <row r="36" spans="1:2" x14ac:dyDescent="0.4">
      <c r="A36" s="5" t="s">
        <v>43</v>
      </c>
      <c r="B36" s="5" t="s">
        <v>49</v>
      </c>
    </row>
    <row r="37" spans="1:2" x14ac:dyDescent="0.4">
      <c r="A37" s="5" t="s">
        <v>44</v>
      </c>
      <c r="B37" s="5" t="s">
        <v>45</v>
      </c>
    </row>
    <row r="39" spans="1:2" x14ac:dyDescent="0.4">
      <c r="A39" s="5" t="s">
        <v>46</v>
      </c>
      <c r="B39" s="5" t="s">
        <v>47</v>
      </c>
    </row>
  </sheetData>
  <mergeCells count="9">
    <mergeCell ref="D4:E4"/>
    <mergeCell ref="A1:H1"/>
    <mergeCell ref="A2:H2"/>
    <mergeCell ref="A15:H15"/>
    <mergeCell ref="A9:H9"/>
    <mergeCell ref="A10:H10"/>
    <mergeCell ref="A12:H12"/>
    <mergeCell ref="A13:H13"/>
    <mergeCell ref="D5:E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44233-E575-4FF4-B3AD-B6115308BF0D}">
  <dimension ref="A1:H49"/>
  <sheetViews>
    <sheetView zoomScale="85" zoomScaleNormal="85" workbookViewId="0">
      <selection activeCell="K14" sqref="K14"/>
    </sheetView>
  </sheetViews>
  <sheetFormatPr defaultRowHeight="17.399999999999999" x14ac:dyDescent="0.4"/>
  <cols>
    <col min="4" max="4" width="20" customWidth="1"/>
    <col min="5" max="5" width="15.19921875" customWidth="1"/>
    <col min="6" max="6" width="18.59765625" customWidth="1"/>
  </cols>
  <sheetData>
    <row r="1" spans="1:8" x14ac:dyDescent="0.4">
      <c r="B1" s="16"/>
      <c r="C1" t="s">
        <v>28</v>
      </c>
      <c r="E1" s="51" t="s">
        <v>34</v>
      </c>
      <c r="F1" s="52"/>
    </row>
    <row r="2" spans="1:8" x14ac:dyDescent="0.4">
      <c r="B2" s="19"/>
      <c r="C2" t="s">
        <v>29</v>
      </c>
      <c r="E2" s="53"/>
      <c r="F2" s="54"/>
    </row>
    <row r="3" spans="1:8" ht="18" thickBot="1" x14ac:dyDescent="0.45">
      <c r="E3" s="53"/>
      <c r="F3" s="54"/>
    </row>
    <row r="4" spans="1:8" ht="35.4" thickBot="1" x14ac:dyDescent="0.45">
      <c r="A4" s="2"/>
      <c r="B4" s="3" t="s">
        <v>25</v>
      </c>
      <c r="C4" s="3" t="s">
        <v>24</v>
      </c>
      <c r="D4" s="4" t="s">
        <v>26</v>
      </c>
      <c r="E4" s="13" t="s">
        <v>32</v>
      </c>
      <c r="F4" s="14" t="s">
        <v>33</v>
      </c>
      <c r="H4" s="23"/>
    </row>
    <row r="5" spans="1:8" x14ac:dyDescent="0.4">
      <c r="A5" s="55" t="s">
        <v>10</v>
      </c>
      <c r="B5" s="17">
        <v>1</v>
      </c>
      <c r="C5" s="17">
        <v>1</v>
      </c>
      <c r="D5" s="11" t="s">
        <v>0</v>
      </c>
      <c r="E5" s="24">
        <v>-23197.333330000001</v>
      </c>
      <c r="F5" s="25">
        <v>-20045.061667029</v>
      </c>
    </row>
    <row r="6" spans="1:8" x14ac:dyDescent="0.4">
      <c r="A6" s="56"/>
      <c r="B6" s="16">
        <v>2</v>
      </c>
      <c r="C6" s="16">
        <v>2</v>
      </c>
      <c r="D6" s="10" t="s">
        <v>0</v>
      </c>
      <c r="E6" s="26">
        <v>-23191.674999999999</v>
      </c>
      <c r="F6" s="27">
        <v>-20109.132782127799</v>
      </c>
    </row>
    <row r="7" spans="1:8" x14ac:dyDescent="0.4">
      <c r="A7" s="56"/>
      <c r="B7" s="16">
        <v>3</v>
      </c>
      <c r="C7" s="16">
        <v>3</v>
      </c>
      <c r="D7" s="10" t="s">
        <v>0</v>
      </c>
      <c r="E7" s="26">
        <v>-23254.233329999999</v>
      </c>
      <c r="F7" s="27">
        <v>-20034.588482011899</v>
      </c>
    </row>
    <row r="8" spans="1:8" x14ac:dyDescent="0.4">
      <c r="A8" s="56"/>
      <c r="B8" s="16">
        <v>4</v>
      </c>
      <c r="C8" s="16">
        <v>4</v>
      </c>
      <c r="D8" s="10" t="s">
        <v>0</v>
      </c>
      <c r="E8" s="26">
        <v>-30911.530559999999</v>
      </c>
      <c r="F8" s="27">
        <v>-20367.053338848698</v>
      </c>
    </row>
    <row r="9" spans="1:8" x14ac:dyDescent="0.4">
      <c r="A9" s="56"/>
      <c r="B9" s="16">
        <v>5</v>
      </c>
      <c r="C9" s="16">
        <v>5</v>
      </c>
      <c r="D9" s="10" t="s">
        <v>0</v>
      </c>
      <c r="E9" s="26">
        <v>-23299.491669999999</v>
      </c>
      <c r="F9" s="27">
        <v>-20271.200422406899</v>
      </c>
    </row>
    <row r="10" spans="1:8" x14ac:dyDescent="0.4">
      <c r="A10" s="56"/>
      <c r="B10" s="16">
        <v>6</v>
      </c>
      <c r="C10" s="16">
        <v>6</v>
      </c>
      <c r="D10" s="10" t="s">
        <v>0</v>
      </c>
      <c r="E10" s="26">
        <v>-24827.333330000001</v>
      </c>
      <c r="F10" s="27">
        <v>-21394.9216670036</v>
      </c>
    </row>
    <row r="11" spans="1:8" x14ac:dyDescent="0.4">
      <c r="A11" s="56"/>
      <c r="B11" s="16">
        <v>7</v>
      </c>
      <c r="C11" s="16">
        <v>7</v>
      </c>
      <c r="D11" s="10" t="s">
        <v>0</v>
      </c>
      <c r="E11" s="26">
        <v>-24679.583330000001</v>
      </c>
      <c r="F11" s="27">
        <v>-21433.493745489501</v>
      </c>
    </row>
    <row r="12" spans="1:8" x14ac:dyDescent="0.4">
      <c r="A12" s="56"/>
      <c r="B12" s="19">
        <v>8</v>
      </c>
      <c r="C12" s="19">
        <v>8</v>
      </c>
      <c r="D12" s="19" t="s">
        <v>32</v>
      </c>
      <c r="E12" s="28">
        <v>-24578.866669999999</v>
      </c>
      <c r="F12" s="29">
        <v>-25796.746666946401</v>
      </c>
    </row>
    <row r="13" spans="1:8" x14ac:dyDescent="0.4">
      <c r="A13" s="56"/>
      <c r="B13" s="19">
        <v>9</v>
      </c>
      <c r="C13" s="19">
        <v>9</v>
      </c>
      <c r="D13" s="19" t="s">
        <v>32</v>
      </c>
      <c r="E13" s="28">
        <v>-24720.375</v>
      </c>
      <c r="F13" s="29">
        <v>-25711.411102213799</v>
      </c>
    </row>
    <row r="14" spans="1:8" x14ac:dyDescent="0.4">
      <c r="A14" s="56"/>
      <c r="B14" s="16">
        <v>10</v>
      </c>
      <c r="C14" s="16">
        <v>10</v>
      </c>
      <c r="D14" s="10" t="s">
        <v>0</v>
      </c>
      <c r="E14" s="26">
        <v>-27824.338889999999</v>
      </c>
      <c r="F14" s="27">
        <v>-25681.600411175801</v>
      </c>
    </row>
    <row r="15" spans="1:8" x14ac:dyDescent="0.4">
      <c r="A15" s="56"/>
      <c r="B15" s="16">
        <v>11</v>
      </c>
      <c r="C15" s="16">
        <v>11</v>
      </c>
      <c r="D15" s="10" t="s">
        <v>0</v>
      </c>
      <c r="E15" s="26">
        <v>-26064</v>
      </c>
      <c r="F15" s="27">
        <v>-25724.299157462901</v>
      </c>
    </row>
    <row r="16" spans="1:8" x14ac:dyDescent="0.4">
      <c r="A16" s="56"/>
      <c r="B16" s="16">
        <v>12</v>
      </c>
      <c r="C16" s="16">
        <v>12</v>
      </c>
      <c r="D16" s="10" t="s">
        <v>0</v>
      </c>
      <c r="E16" s="26">
        <v>-26004.43333</v>
      </c>
      <c r="F16" s="27">
        <v>-23023.364718531699</v>
      </c>
    </row>
    <row r="17" spans="1:6" x14ac:dyDescent="0.4">
      <c r="A17" s="56"/>
      <c r="B17" s="16">
        <v>13</v>
      </c>
      <c r="C17" s="16">
        <v>13</v>
      </c>
      <c r="D17" s="10" t="s">
        <v>0</v>
      </c>
      <c r="E17" s="26">
        <v>-26032.18333</v>
      </c>
      <c r="F17" s="27">
        <v>-26853.3749873081</v>
      </c>
    </row>
    <row r="18" spans="1:6" x14ac:dyDescent="0.4">
      <c r="A18" s="56"/>
      <c r="B18" s="16">
        <v>14</v>
      </c>
      <c r="C18" s="16">
        <v>14</v>
      </c>
      <c r="D18" s="10" t="s">
        <v>0</v>
      </c>
      <c r="E18" s="26">
        <v>-33141.022230000002</v>
      </c>
      <c r="F18" s="27">
        <v>-27078.471793999601</v>
      </c>
    </row>
    <row r="19" spans="1:6" ht="18" thickBot="1" x14ac:dyDescent="0.45">
      <c r="A19" s="57"/>
      <c r="B19" s="21">
        <v>15</v>
      </c>
      <c r="C19" s="21">
        <v>15</v>
      </c>
      <c r="D19" s="12" t="s">
        <v>0</v>
      </c>
      <c r="E19" s="26">
        <v>-31992.852770000001</v>
      </c>
      <c r="F19" s="27">
        <v>-27201.391792992701</v>
      </c>
    </row>
    <row r="20" spans="1:6" x14ac:dyDescent="0.4">
      <c r="A20" s="55" t="s">
        <v>11</v>
      </c>
      <c r="B20" s="32">
        <v>16</v>
      </c>
      <c r="C20" s="32">
        <v>1</v>
      </c>
      <c r="D20" s="38" t="s">
        <v>32</v>
      </c>
      <c r="E20" s="28">
        <v>-27659.974999999999</v>
      </c>
      <c r="F20" s="33">
        <v>-27739.22291483323</v>
      </c>
    </row>
    <row r="21" spans="1:6" x14ac:dyDescent="0.4">
      <c r="A21" s="56"/>
      <c r="B21" s="19">
        <v>17</v>
      </c>
      <c r="C21" s="19">
        <v>2</v>
      </c>
      <c r="D21" s="36" t="s">
        <v>32</v>
      </c>
      <c r="E21" s="28">
        <v>-23151.8</v>
      </c>
      <c r="F21" s="29">
        <v>-23023.364718531699</v>
      </c>
    </row>
    <row r="22" spans="1:6" x14ac:dyDescent="0.4">
      <c r="A22" s="56"/>
      <c r="B22" s="16">
        <v>18</v>
      </c>
      <c r="C22" s="16">
        <v>3</v>
      </c>
      <c r="D22" s="22" t="s">
        <v>32</v>
      </c>
      <c r="E22" s="26">
        <v>-22476.06667</v>
      </c>
      <c r="F22" s="27">
        <v>-21461.485830845799</v>
      </c>
    </row>
    <row r="23" spans="1:6" x14ac:dyDescent="0.4">
      <c r="A23" s="56"/>
      <c r="B23" s="16">
        <v>19</v>
      </c>
      <c r="C23" s="16">
        <v>4</v>
      </c>
      <c r="D23" s="22" t="s">
        <v>32</v>
      </c>
      <c r="E23" s="26">
        <v>-22630.6</v>
      </c>
      <c r="F23" s="27">
        <v>-21858.880000553101</v>
      </c>
    </row>
    <row r="24" spans="1:6" x14ac:dyDescent="0.4">
      <c r="A24" s="56"/>
      <c r="B24" s="16">
        <v>20</v>
      </c>
      <c r="C24" s="16">
        <v>5</v>
      </c>
      <c r="D24" s="35" t="s">
        <v>0</v>
      </c>
      <c r="E24" s="26">
        <v>-23866.391670000001</v>
      </c>
      <c r="F24" s="27">
        <v>-21858.880000553101</v>
      </c>
    </row>
    <row r="25" spans="1:6" x14ac:dyDescent="0.4">
      <c r="A25" s="56"/>
      <c r="B25" s="16">
        <v>21</v>
      </c>
      <c r="C25" s="16">
        <v>6</v>
      </c>
      <c r="D25" s="35" t="s">
        <v>0</v>
      </c>
      <c r="E25" s="26">
        <v>-23353.266670000001</v>
      </c>
      <c r="F25" s="27">
        <v>-20020.333333333299</v>
      </c>
    </row>
    <row r="26" spans="1:6" x14ac:dyDescent="0.4">
      <c r="A26" s="56"/>
      <c r="B26" s="16">
        <v>22</v>
      </c>
      <c r="C26" s="16">
        <v>7</v>
      </c>
      <c r="D26" s="35" t="s">
        <v>0</v>
      </c>
      <c r="E26" s="26">
        <v>-24692.283329999998</v>
      </c>
      <c r="F26" s="27">
        <v>-19313.543333333299</v>
      </c>
    </row>
    <row r="27" spans="1:6" x14ac:dyDescent="0.4">
      <c r="A27" s="56"/>
      <c r="B27" s="16">
        <v>23</v>
      </c>
      <c r="C27" s="16">
        <v>8</v>
      </c>
      <c r="D27" s="35" t="s">
        <v>0</v>
      </c>
      <c r="E27" s="26">
        <v>-28895</v>
      </c>
      <c r="F27" s="27">
        <v>-20045.061667029</v>
      </c>
    </row>
    <row r="28" spans="1:6" x14ac:dyDescent="0.4">
      <c r="A28" s="56"/>
      <c r="B28" s="16">
        <v>24</v>
      </c>
      <c r="C28" s="16">
        <v>9</v>
      </c>
      <c r="D28" s="35" t="s">
        <v>0</v>
      </c>
      <c r="E28" s="26">
        <v>-24583.658329999998</v>
      </c>
      <c r="F28" s="27">
        <v>-21997.573611111002</v>
      </c>
    </row>
    <row r="29" spans="1:6" x14ac:dyDescent="0.4">
      <c r="A29" s="56"/>
      <c r="B29" s="16">
        <v>25</v>
      </c>
      <c r="C29" s="16">
        <v>10</v>
      </c>
      <c r="D29" s="35" t="s">
        <v>0</v>
      </c>
      <c r="E29" s="26">
        <v>-24549.666669999999</v>
      </c>
      <c r="F29" s="27">
        <v>-22111.719999999899</v>
      </c>
    </row>
    <row r="30" spans="1:6" x14ac:dyDescent="0.4">
      <c r="A30" s="56"/>
      <c r="B30" s="16">
        <v>26</v>
      </c>
      <c r="C30" s="16">
        <v>11</v>
      </c>
      <c r="D30" s="35" t="s">
        <v>0</v>
      </c>
      <c r="E30" s="26">
        <v>-26122.166669999999</v>
      </c>
      <c r="F30" s="27">
        <v>-23457.976111110998</v>
      </c>
    </row>
    <row r="31" spans="1:6" x14ac:dyDescent="0.4">
      <c r="A31" s="56"/>
      <c r="B31" s="16">
        <v>27</v>
      </c>
      <c r="C31" s="16">
        <v>12</v>
      </c>
      <c r="D31" s="35" t="s">
        <v>0</v>
      </c>
      <c r="E31" s="26">
        <v>-40908</v>
      </c>
      <c r="F31" s="27">
        <v>-23387.271666666598</v>
      </c>
    </row>
    <row r="32" spans="1:6" x14ac:dyDescent="0.4">
      <c r="A32" s="56"/>
      <c r="B32" s="16">
        <v>28</v>
      </c>
      <c r="C32" s="16">
        <v>13</v>
      </c>
      <c r="D32" s="35" t="s">
        <v>0</v>
      </c>
      <c r="E32" s="26">
        <v>-26087.474999999999</v>
      </c>
      <c r="F32" s="27">
        <v>-23340.022083333199</v>
      </c>
    </row>
    <row r="33" spans="1:6" x14ac:dyDescent="0.4">
      <c r="A33" s="56"/>
      <c r="B33" s="16">
        <v>29</v>
      </c>
      <c r="C33" s="16">
        <v>14</v>
      </c>
      <c r="D33" s="35" t="s">
        <v>0</v>
      </c>
      <c r="E33" s="26">
        <v>-26118.799999999999</v>
      </c>
      <c r="F33" s="27">
        <v>-23400.264999999999</v>
      </c>
    </row>
    <row r="34" spans="1:6" ht="18" thickBot="1" x14ac:dyDescent="0.45">
      <c r="A34" s="57"/>
      <c r="B34" s="21">
        <v>30</v>
      </c>
      <c r="C34" s="21">
        <v>15</v>
      </c>
      <c r="D34" s="37" t="s">
        <v>0</v>
      </c>
      <c r="E34" s="26">
        <v>-29164.483329999999</v>
      </c>
      <c r="F34" s="27">
        <v>-22733.586666666601</v>
      </c>
    </row>
    <row r="35" spans="1:6" x14ac:dyDescent="0.4">
      <c r="A35" s="55" t="s">
        <v>17</v>
      </c>
      <c r="B35" s="17">
        <v>31</v>
      </c>
      <c r="C35" s="17">
        <v>1</v>
      </c>
      <c r="D35" s="34" t="s">
        <v>0</v>
      </c>
      <c r="E35" s="26">
        <v>-23265.733329999999</v>
      </c>
      <c r="F35" s="27">
        <v>-20506.385277777699</v>
      </c>
    </row>
    <row r="36" spans="1:6" x14ac:dyDescent="0.4">
      <c r="A36" s="56"/>
      <c r="B36" s="16">
        <v>32</v>
      </c>
      <c r="C36" s="16">
        <v>2</v>
      </c>
      <c r="D36" s="35" t="s">
        <v>0</v>
      </c>
      <c r="E36" s="26">
        <v>-23295.333330000001</v>
      </c>
      <c r="F36" s="27">
        <v>-20535.3770833333</v>
      </c>
    </row>
    <row r="37" spans="1:6" x14ac:dyDescent="0.4">
      <c r="A37" s="56"/>
      <c r="B37" s="16">
        <v>33</v>
      </c>
      <c r="C37" s="16">
        <v>3</v>
      </c>
      <c r="D37" s="35" t="s">
        <v>0</v>
      </c>
      <c r="E37" s="26">
        <v>-28722.216670000002</v>
      </c>
      <c r="F37" s="27">
        <v>-21196.900694444401</v>
      </c>
    </row>
    <row r="38" spans="1:6" x14ac:dyDescent="0.4">
      <c r="A38" s="56"/>
      <c r="B38" s="16">
        <v>34</v>
      </c>
      <c r="C38" s="16">
        <v>4</v>
      </c>
      <c r="D38" s="35" t="s">
        <v>0</v>
      </c>
      <c r="E38" s="26">
        <v>-28269.755560000001</v>
      </c>
      <c r="F38" s="27">
        <v>-21165.986388888799</v>
      </c>
    </row>
    <row r="39" spans="1:6" x14ac:dyDescent="0.4">
      <c r="A39" s="56"/>
      <c r="B39" s="16">
        <v>35</v>
      </c>
      <c r="C39" s="16">
        <v>5</v>
      </c>
      <c r="D39" s="35" t="s">
        <v>0</v>
      </c>
      <c r="E39" s="26">
        <v>-29085.51944</v>
      </c>
      <c r="F39" s="27">
        <v>-22006.097083333199</v>
      </c>
    </row>
    <row r="40" spans="1:6" x14ac:dyDescent="0.4">
      <c r="A40" s="56"/>
      <c r="B40" s="16">
        <v>36</v>
      </c>
      <c r="C40" s="16">
        <v>6</v>
      </c>
      <c r="D40" s="35" t="s">
        <v>0</v>
      </c>
      <c r="E40" s="26">
        <v>-42611.516660000001</v>
      </c>
      <c r="F40" s="27">
        <v>-22732.577638888801</v>
      </c>
    </row>
    <row r="41" spans="1:6" x14ac:dyDescent="0.4">
      <c r="A41" s="56"/>
      <c r="B41" s="16">
        <v>37</v>
      </c>
      <c r="C41" s="16">
        <v>7</v>
      </c>
      <c r="D41" s="35" t="s">
        <v>0</v>
      </c>
      <c r="E41" s="26">
        <v>-32289.65</v>
      </c>
      <c r="F41" s="27">
        <v>-21923.883194444399</v>
      </c>
    </row>
    <row r="42" spans="1:6" x14ac:dyDescent="0.4">
      <c r="A42" s="56"/>
      <c r="B42" s="16">
        <v>38</v>
      </c>
      <c r="C42" s="16">
        <v>8</v>
      </c>
      <c r="D42" s="35" t="s">
        <v>0</v>
      </c>
      <c r="E42" s="26">
        <v>-25356.9</v>
      </c>
      <c r="F42" s="27">
        <v>-22652.379861111101</v>
      </c>
    </row>
    <row r="43" spans="1:6" x14ac:dyDescent="0.4">
      <c r="A43" s="56"/>
      <c r="B43" s="16">
        <v>39</v>
      </c>
      <c r="C43" s="16">
        <v>9</v>
      </c>
      <c r="D43" s="35" t="s">
        <v>0</v>
      </c>
      <c r="E43" s="26">
        <v>-31539.963899999999</v>
      </c>
      <c r="F43" s="27">
        <v>-21101.9751388888</v>
      </c>
    </row>
    <row r="44" spans="1:6" x14ac:dyDescent="0.4">
      <c r="A44" s="56"/>
      <c r="B44" s="19">
        <v>40</v>
      </c>
      <c r="C44" s="19">
        <v>10</v>
      </c>
      <c r="D44" s="36" t="s">
        <v>32</v>
      </c>
      <c r="E44" s="28">
        <v>-25936.141670000001</v>
      </c>
      <c r="F44" s="29">
        <v>-27027.443323232299</v>
      </c>
    </row>
    <row r="45" spans="1:6" x14ac:dyDescent="0.4">
      <c r="A45" s="56"/>
      <c r="B45" s="16">
        <v>41</v>
      </c>
      <c r="C45" s="16">
        <v>11</v>
      </c>
      <c r="D45" s="35" t="s">
        <v>0</v>
      </c>
      <c r="E45" s="26">
        <v>-26150.75</v>
      </c>
      <c r="F45" s="27">
        <v>-25534.364721229002</v>
      </c>
    </row>
    <row r="46" spans="1:6" x14ac:dyDescent="0.4">
      <c r="A46" s="56"/>
      <c r="B46" s="16">
        <v>42</v>
      </c>
      <c r="C46" s="16">
        <v>12</v>
      </c>
      <c r="D46" s="35" t="s">
        <v>0</v>
      </c>
      <c r="E46" s="26">
        <v>-29753.85</v>
      </c>
      <c r="F46" s="27">
        <v>-25680.4901296424</v>
      </c>
    </row>
    <row r="47" spans="1:6" x14ac:dyDescent="0.4">
      <c r="A47" s="56"/>
      <c r="B47" s="16">
        <v>43</v>
      </c>
      <c r="C47" s="16">
        <v>13</v>
      </c>
      <c r="D47" s="35" t="s">
        <v>0</v>
      </c>
      <c r="E47" s="26">
        <v>-27238.719450000001</v>
      </c>
      <c r="F47" s="27">
        <v>-27145.287359135898</v>
      </c>
    </row>
    <row r="48" spans="1:6" x14ac:dyDescent="0.4">
      <c r="A48" s="56"/>
      <c r="B48" s="19">
        <v>44</v>
      </c>
      <c r="C48" s="19">
        <v>14</v>
      </c>
      <c r="D48" s="36" t="s">
        <v>32</v>
      </c>
      <c r="E48" s="28">
        <v>-25111.7</v>
      </c>
      <c r="F48" s="29">
        <v>-28509.186522428899</v>
      </c>
    </row>
    <row r="49" spans="1:6" ht="18" thickBot="1" x14ac:dyDescent="0.45">
      <c r="A49" s="57"/>
      <c r="B49" s="20">
        <v>45</v>
      </c>
      <c r="C49" s="20">
        <v>15</v>
      </c>
      <c r="D49" s="39" t="s">
        <v>32</v>
      </c>
      <c r="E49" s="30">
        <v>-24795.208330000001</v>
      </c>
      <c r="F49" s="31">
        <v>-28423.2894406819</v>
      </c>
    </row>
  </sheetData>
  <mergeCells count="4">
    <mergeCell ref="E1:F3"/>
    <mergeCell ref="A5:A19"/>
    <mergeCell ref="A20:A34"/>
    <mergeCell ref="A35:A4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07D33-D189-40E8-86D2-CA835035D909}">
  <dimension ref="A1:O49"/>
  <sheetViews>
    <sheetView topLeftCell="A6" zoomScaleNormal="100" workbookViewId="0">
      <selection activeCell="AK25" sqref="AK25"/>
    </sheetView>
  </sheetViews>
  <sheetFormatPr defaultRowHeight="17.399999999999999" x14ac:dyDescent="0.4"/>
  <sheetData>
    <row r="1" spans="1:15" x14ac:dyDescent="0.4">
      <c r="B1" s="10"/>
      <c r="C1" t="s">
        <v>28</v>
      </c>
    </row>
    <row r="2" spans="1:15" x14ac:dyDescent="0.4">
      <c r="B2" s="9"/>
      <c r="C2" t="s">
        <v>29</v>
      </c>
    </row>
    <row r="3" spans="1:15" ht="18" thickBot="1" x14ac:dyDescent="0.45">
      <c r="O3" s="18"/>
    </row>
    <row r="4" spans="1:15" ht="70.2" thickBot="1" x14ac:dyDescent="0.45">
      <c r="A4" s="2"/>
      <c r="B4" s="3" t="s">
        <v>25</v>
      </c>
      <c r="C4" s="3" t="s">
        <v>24</v>
      </c>
      <c r="D4" s="4" t="s">
        <v>26</v>
      </c>
      <c r="E4" s="58" t="s">
        <v>30</v>
      </c>
      <c r="F4" s="59"/>
      <c r="G4" s="59"/>
      <c r="H4" s="59"/>
      <c r="I4" s="59"/>
      <c r="J4" s="59"/>
      <c r="K4" s="59"/>
      <c r="L4" s="59"/>
      <c r="M4" s="59"/>
      <c r="N4" s="59"/>
      <c r="O4" s="40"/>
    </row>
    <row r="5" spans="1:15" x14ac:dyDescent="0.4">
      <c r="A5" s="55" t="s">
        <v>10</v>
      </c>
      <c r="B5" s="17">
        <v>1</v>
      </c>
      <c r="C5" s="17">
        <v>1</v>
      </c>
      <c r="D5" s="17" t="s">
        <v>0</v>
      </c>
      <c r="E5" s="17" t="s">
        <v>1</v>
      </c>
      <c r="F5" s="17"/>
      <c r="G5" s="17"/>
      <c r="H5" s="17"/>
      <c r="I5" s="17"/>
      <c r="J5" s="17"/>
      <c r="K5" s="17"/>
      <c r="L5" s="17"/>
      <c r="M5" s="17"/>
      <c r="N5" s="17"/>
      <c r="O5" s="17"/>
    </row>
    <row r="6" spans="1:15" x14ac:dyDescent="0.4">
      <c r="A6" s="56"/>
      <c r="B6" s="16">
        <v>2</v>
      </c>
      <c r="C6" s="16">
        <v>2</v>
      </c>
      <c r="D6" s="16" t="s">
        <v>0</v>
      </c>
      <c r="E6" s="16" t="s">
        <v>2</v>
      </c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1:15" x14ac:dyDescent="0.4">
      <c r="A7" s="56"/>
      <c r="B7" s="16">
        <v>3</v>
      </c>
      <c r="C7" s="16">
        <v>3</v>
      </c>
      <c r="D7" s="16" t="s">
        <v>0</v>
      </c>
      <c r="E7" s="16" t="s">
        <v>3</v>
      </c>
      <c r="F7" s="16"/>
      <c r="G7" s="16"/>
      <c r="H7" s="16"/>
      <c r="I7" s="16"/>
      <c r="J7" s="16"/>
      <c r="K7" s="16"/>
      <c r="L7" s="16"/>
      <c r="M7" s="16"/>
      <c r="N7" s="16"/>
      <c r="O7" s="16"/>
    </row>
    <row r="8" spans="1:15" x14ac:dyDescent="0.4">
      <c r="A8" s="56"/>
      <c r="B8" s="16">
        <v>4</v>
      </c>
      <c r="C8" s="16">
        <v>4</v>
      </c>
      <c r="D8" s="16" t="s">
        <v>0</v>
      </c>
      <c r="E8" s="16" t="s">
        <v>52</v>
      </c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1:15" x14ac:dyDescent="0.4">
      <c r="A9" s="56"/>
      <c r="B9" s="16">
        <v>5</v>
      </c>
      <c r="C9" s="16">
        <v>5</v>
      </c>
      <c r="D9" s="16" t="s">
        <v>0</v>
      </c>
      <c r="E9" s="16" t="s">
        <v>53</v>
      </c>
      <c r="F9" s="16"/>
      <c r="G9" s="16"/>
      <c r="H9" s="16"/>
      <c r="I9" s="16"/>
      <c r="J9" s="16"/>
      <c r="K9" s="16"/>
      <c r="L9" s="16"/>
      <c r="M9" s="16"/>
      <c r="N9" s="16"/>
      <c r="O9" s="16"/>
    </row>
    <row r="10" spans="1:15" x14ac:dyDescent="0.4">
      <c r="A10" s="56"/>
      <c r="B10" s="16">
        <v>6</v>
      </c>
      <c r="C10" s="16">
        <v>6</v>
      </c>
      <c r="D10" s="16" t="s">
        <v>0</v>
      </c>
      <c r="E10" s="16" t="s">
        <v>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1:15" x14ac:dyDescent="0.4">
      <c r="A11" s="56"/>
      <c r="B11" s="16">
        <v>7</v>
      </c>
      <c r="C11" s="16">
        <v>7</v>
      </c>
      <c r="D11" s="16" t="s">
        <v>0</v>
      </c>
      <c r="E11" s="16" t="s">
        <v>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1:15" x14ac:dyDescent="0.4">
      <c r="A12" s="56"/>
      <c r="B12" s="19">
        <v>8</v>
      </c>
      <c r="C12" s="19">
        <v>8</v>
      </c>
      <c r="D12" s="19" t="s">
        <v>32</v>
      </c>
      <c r="E12" s="19" t="s">
        <v>6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</row>
    <row r="13" spans="1:15" x14ac:dyDescent="0.4">
      <c r="A13" s="56"/>
      <c r="B13" s="19">
        <v>9</v>
      </c>
      <c r="C13" s="19">
        <v>9</v>
      </c>
      <c r="D13" s="19" t="s">
        <v>32</v>
      </c>
      <c r="E13" s="19" t="s">
        <v>54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</row>
    <row r="14" spans="1:15" x14ac:dyDescent="0.4">
      <c r="A14" s="56"/>
      <c r="B14" s="16">
        <v>10</v>
      </c>
      <c r="C14" s="16">
        <v>10</v>
      </c>
      <c r="D14" s="16" t="s">
        <v>0</v>
      </c>
      <c r="E14" s="16" t="s">
        <v>55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1:15" x14ac:dyDescent="0.4">
      <c r="A15" s="56"/>
      <c r="B15" s="16">
        <v>11</v>
      </c>
      <c r="C15" s="16">
        <v>11</v>
      </c>
      <c r="D15" s="16" t="s">
        <v>0</v>
      </c>
      <c r="E15" s="16" t="s">
        <v>7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spans="1:15" x14ac:dyDescent="0.4">
      <c r="A16" s="56"/>
      <c r="B16" s="16">
        <v>12</v>
      </c>
      <c r="C16" s="16">
        <v>12</v>
      </c>
      <c r="D16" s="16" t="s">
        <v>0</v>
      </c>
      <c r="E16" s="16" t="s">
        <v>8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spans="1:15" x14ac:dyDescent="0.4">
      <c r="A17" s="56"/>
      <c r="B17" s="16">
        <v>13</v>
      </c>
      <c r="C17" s="16">
        <v>13</v>
      </c>
      <c r="D17" s="16" t="s">
        <v>0</v>
      </c>
      <c r="E17" s="16" t="s">
        <v>9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spans="1:15" x14ac:dyDescent="0.4">
      <c r="A18" s="56"/>
      <c r="B18" s="16">
        <v>14</v>
      </c>
      <c r="C18" s="16">
        <v>14</v>
      </c>
      <c r="D18" s="16" t="s">
        <v>0</v>
      </c>
      <c r="E18" s="16" t="s">
        <v>56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1:15" ht="18" thickBot="1" x14ac:dyDescent="0.45">
      <c r="A19" s="57"/>
      <c r="B19" s="21">
        <v>15</v>
      </c>
      <c r="C19" s="21">
        <v>15</v>
      </c>
      <c r="D19" s="21" t="s">
        <v>0</v>
      </c>
      <c r="E19" s="21" t="s">
        <v>57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1:15" x14ac:dyDescent="0.4">
      <c r="A20" s="55" t="s">
        <v>11</v>
      </c>
      <c r="B20" s="32">
        <v>16</v>
      </c>
      <c r="C20" s="32">
        <v>1</v>
      </c>
      <c r="D20" s="32" t="s">
        <v>32</v>
      </c>
      <c r="E20" s="32" t="s">
        <v>58</v>
      </c>
      <c r="F20" s="32"/>
      <c r="G20" s="32"/>
      <c r="H20" s="32"/>
      <c r="I20" s="32"/>
      <c r="J20" s="32"/>
      <c r="K20" s="32"/>
      <c r="L20" s="32"/>
      <c r="M20" s="32"/>
      <c r="N20" s="32"/>
      <c r="O20" s="32"/>
    </row>
    <row r="21" spans="1:15" x14ac:dyDescent="0.4">
      <c r="A21" s="56"/>
      <c r="B21" s="19">
        <v>17</v>
      </c>
      <c r="C21" s="19">
        <v>2</v>
      </c>
      <c r="D21" s="19" t="s">
        <v>32</v>
      </c>
      <c r="E21" s="19" t="s">
        <v>59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</row>
    <row r="22" spans="1:15" x14ac:dyDescent="0.4">
      <c r="A22" s="56"/>
      <c r="B22" s="16">
        <v>18</v>
      </c>
      <c r="C22" s="16">
        <v>3</v>
      </c>
      <c r="D22" s="16" t="s">
        <v>32</v>
      </c>
      <c r="E22" s="16" t="s">
        <v>60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1:15" x14ac:dyDescent="0.4">
      <c r="A23" s="56"/>
      <c r="B23" s="16">
        <v>19</v>
      </c>
      <c r="C23" s="16">
        <v>4</v>
      </c>
      <c r="D23" s="16" t="s">
        <v>32</v>
      </c>
      <c r="E23" s="16" t="s">
        <v>61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1:15" x14ac:dyDescent="0.4">
      <c r="A24" s="56"/>
      <c r="B24" s="16">
        <v>20</v>
      </c>
      <c r="C24" s="16">
        <v>5</v>
      </c>
      <c r="D24" s="16" t="s">
        <v>0</v>
      </c>
      <c r="E24" s="16" t="s">
        <v>62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1:15" x14ac:dyDescent="0.4">
      <c r="A25" s="56"/>
      <c r="B25" s="16">
        <v>21</v>
      </c>
      <c r="C25" s="16">
        <v>6</v>
      </c>
      <c r="D25" s="16" t="s">
        <v>0</v>
      </c>
      <c r="E25" s="16" t="s">
        <v>63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spans="1:15" x14ac:dyDescent="0.4">
      <c r="A26" s="56"/>
      <c r="B26" s="16">
        <v>22</v>
      </c>
      <c r="C26" s="16">
        <v>7</v>
      </c>
      <c r="D26" s="16" t="s">
        <v>0</v>
      </c>
      <c r="E26" s="16" t="s">
        <v>64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spans="1:15" x14ac:dyDescent="0.4">
      <c r="A27" s="56"/>
      <c r="B27" s="16">
        <v>23</v>
      </c>
      <c r="C27" s="16">
        <v>8</v>
      </c>
      <c r="D27" s="16" t="s">
        <v>0</v>
      </c>
      <c r="E27" s="16" t="s">
        <v>65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spans="1:15" x14ac:dyDescent="0.4">
      <c r="A28" s="56"/>
      <c r="B28" s="16">
        <v>24</v>
      </c>
      <c r="C28" s="16">
        <v>9</v>
      </c>
      <c r="D28" s="16" t="s">
        <v>0</v>
      </c>
      <c r="E28" s="16" t="s">
        <v>66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spans="1:15" x14ac:dyDescent="0.4">
      <c r="A29" s="56"/>
      <c r="B29" s="16">
        <v>25</v>
      </c>
      <c r="C29" s="16">
        <v>10</v>
      </c>
      <c r="D29" s="16" t="s">
        <v>0</v>
      </c>
      <c r="E29" s="16" t="s">
        <v>67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spans="1:15" x14ac:dyDescent="0.4">
      <c r="A30" s="56"/>
      <c r="B30" s="16">
        <v>26</v>
      </c>
      <c r="C30" s="16">
        <v>11</v>
      </c>
      <c r="D30" s="16" t="s">
        <v>0</v>
      </c>
      <c r="E30" s="16" t="s">
        <v>68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spans="1:15" x14ac:dyDescent="0.4">
      <c r="A31" s="56"/>
      <c r="B31" s="16">
        <v>27</v>
      </c>
      <c r="C31" s="16">
        <v>12</v>
      </c>
      <c r="D31" s="16" t="s">
        <v>0</v>
      </c>
      <c r="E31" s="16" t="s">
        <v>69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</row>
    <row r="32" spans="1:15" x14ac:dyDescent="0.4">
      <c r="A32" s="56"/>
      <c r="B32" s="16">
        <v>28</v>
      </c>
      <c r="C32" s="16">
        <v>13</v>
      </c>
      <c r="D32" s="16" t="s">
        <v>0</v>
      </c>
      <c r="E32" s="16" t="s">
        <v>70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</row>
    <row r="33" spans="1:15" x14ac:dyDescent="0.4">
      <c r="A33" s="56"/>
      <c r="B33" s="16">
        <v>29</v>
      </c>
      <c r="C33" s="16">
        <v>14</v>
      </c>
      <c r="D33" s="16" t="s">
        <v>0</v>
      </c>
      <c r="E33" s="16" t="s">
        <v>71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</row>
    <row r="34" spans="1:15" ht="18" thickBot="1" x14ac:dyDescent="0.45">
      <c r="A34" s="57"/>
      <c r="B34" s="21">
        <v>30</v>
      </c>
      <c r="C34" s="21">
        <v>15</v>
      </c>
      <c r="D34" s="21" t="s">
        <v>0</v>
      </c>
      <c r="E34" s="21" t="s">
        <v>72</v>
      </c>
      <c r="F34" s="21"/>
      <c r="G34" s="21"/>
      <c r="H34" s="21"/>
      <c r="I34" s="21"/>
      <c r="J34" s="21"/>
      <c r="K34" s="21"/>
      <c r="L34" s="21"/>
      <c r="M34" s="21"/>
      <c r="N34" s="21"/>
      <c r="O34" s="21"/>
    </row>
    <row r="35" spans="1:15" x14ac:dyDescent="0.4">
      <c r="A35" s="55" t="s">
        <v>17</v>
      </c>
      <c r="B35" s="17">
        <v>31</v>
      </c>
      <c r="C35" s="17">
        <v>1</v>
      </c>
      <c r="D35" s="17" t="s">
        <v>0</v>
      </c>
      <c r="E35" s="17" t="s">
        <v>12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</row>
    <row r="36" spans="1:15" x14ac:dyDescent="0.4">
      <c r="A36" s="56"/>
      <c r="B36" s="16">
        <v>32</v>
      </c>
      <c r="C36" s="16">
        <v>2</v>
      </c>
      <c r="D36" s="16" t="s">
        <v>0</v>
      </c>
      <c r="E36" s="16" t="s">
        <v>13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spans="1:15" x14ac:dyDescent="0.4">
      <c r="A37" s="56"/>
      <c r="B37" s="16">
        <v>33</v>
      </c>
      <c r="C37" s="16">
        <v>3</v>
      </c>
      <c r="D37" s="16" t="s">
        <v>0</v>
      </c>
      <c r="E37" s="16" t="s">
        <v>73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spans="1:15" x14ac:dyDescent="0.4">
      <c r="A38" s="56"/>
      <c r="B38" s="16">
        <v>34</v>
      </c>
      <c r="C38" s="16">
        <v>4</v>
      </c>
      <c r="D38" s="16" t="s">
        <v>0</v>
      </c>
      <c r="E38" s="16" t="s">
        <v>74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spans="1:15" x14ac:dyDescent="0.4">
      <c r="A39" s="56"/>
      <c r="B39" s="16">
        <v>35</v>
      </c>
      <c r="C39" s="16">
        <v>5</v>
      </c>
      <c r="D39" s="16" t="s">
        <v>0</v>
      </c>
      <c r="E39" s="16" t="s">
        <v>14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spans="1:15" x14ac:dyDescent="0.4">
      <c r="A40" s="56"/>
      <c r="B40" s="16">
        <v>36</v>
      </c>
      <c r="C40" s="16">
        <v>6</v>
      </c>
      <c r="D40" s="16" t="s">
        <v>0</v>
      </c>
      <c r="E40" s="16" t="s">
        <v>75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</row>
    <row r="41" spans="1:15" x14ac:dyDescent="0.4">
      <c r="A41" s="56"/>
      <c r="B41" s="16">
        <v>37</v>
      </c>
      <c r="C41" s="16">
        <v>7</v>
      </c>
      <c r="D41" s="16" t="s">
        <v>0</v>
      </c>
      <c r="E41" s="16" t="s">
        <v>15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1:15" x14ac:dyDescent="0.4">
      <c r="A42" s="56"/>
      <c r="B42" s="16">
        <v>38</v>
      </c>
      <c r="C42" s="16">
        <v>8</v>
      </c>
      <c r="D42" s="16" t="s">
        <v>0</v>
      </c>
      <c r="E42" s="16" t="s">
        <v>76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1:15" x14ac:dyDescent="0.4">
      <c r="A43" s="56"/>
      <c r="B43" s="16">
        <v>39</v>
      </c>
      <c r="C43" s="16">
        <v>9</v>
      </c>
      <c r="D43" s="16" t="s">
        <v>0</v>
      </c>
      <c r="E43" s="16" t="s">
        <v>77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1:15" x14ac:dyDescent="0.4">
      <c r="A44" s="56"/>
      <c r="B44" s="19">
        <v>40</v>
      </c>
      <c r="C44" s="19">
        <v>10</v>
      </c>
      <c r="D44" s="19" t="s">
        <v>32</v>
      </c>
      <c r="E44" s="19" t="s">
        <v>16</v>
      </c>
      <c r="F44" s="19"/>
      <c r="G44" s="19"/>
      <c r="H44" s="19"/>
      <c r="I44" s="19"/>
      <c r="J44" s="19"/>
      <c r="K44" s="19"/>
      <c r="L44" s="19"/>
      <c r="M44" s="19"/>
      <c r="N44" s="19"/>
      <c r="O44" s="19"/>
    </row>
    <row r="45" spans="1:15" x14ac:dyDescent="0.4">
      <c r="A45" s="56"/>
      <c r="B45" s="16">
        <v>41</v>
      </c>
      <c r="C45" s="16">
        <v>11</v>
      </c>
      <c r="D45" s="16" t="s">
        <v>0</v>
      </c>
      <c r="E45" s="16" t="s">
        <v>78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</row>
    <row r="46" spans="1:15" x14ac:dyDescent="0.4">
      <c r="A46" s="56"/>
      <c r="B46" s="16">
        <v>42</v>
      </c>
      <c r="C46" s="16">
        <v>12</v>
      </c>
      <c r="D46" s="16" t="s">
        <v>0</v>
      </c>
      <c r="E46" s="16" t="s">
        <v>79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</row>
    <row r="47" spans="1:15" x14ac:dyDescent="0.4">
      <c r="A47" s="56"/>
      <c r="B47" s="16">
        <v>43</v>
      </c>
      <c r="C47" s="16">
        <v>13</v>
      </c>
      <c r="D47" s="16" t="s">
        <v>0</v>
      </c>
      <c r="E47" s="16" t="s">
        <v>79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</row>
    <row r="48" spans="1:15" x14ac:dyDescent="0.4">
      <c r="A48" s="56"/>
      <c r="B48" s="19">
        <v>44</v>
      </c>
      <c r="C48" s="19">
        <v>14</v>
      </c>
      <c r="D48" s="19" t="s">
        <v>32</v>
      </c>
      <c r="E48" s="19" t="s">
        <v>80</v>
      </c>
      <c r="F48" s="19"/>
      <c r="G48" s="19"/>
      <c r="H48" s="19"/>
      <c r="I48" s="19"/>
      <c r="J48" s="19"/>
      <c r="K48" s="19"/>
      <c r="L48" s="19"/>
      <c r="M48" s="19"/>
      <c r="N48" s="19"/>
      <c r="O48" s="19"/>
    </row>
    <row r="49" spans="1:15" ht="18" thickBot="1" x14ac:dyDescent="0.45">
      <c r="A49" s="57"/>
      <c r="B49" s="20">
        <v>45</v>
      </c>
      <c r="C49" s="20">
        <v>15</v>
      </c>
      <c r="D49" s="20" t="s">
        <v>32</v>
      </c>
      <c r="E49" s="20" t="s">
        <v>51</v>
      </c>
      <c r="F49" s="20"/>
      <c r="G49" s="20"/>
      <c r="H49" s="20"/>
      <c r="I49" s="20"/>
      <c r="J49" s="20"/>
      <c r="K49" s="20"/>
      <c r="L49" s="20"/>
      <c r="M49" s="20"/>
      <c r="N49" s="20"/>
      <c r="O49" s="20"/>
    </row>
  </sheetData>
  <mergeCells count="4">
    <mergeCell ref="E4:N4"/>
    <mergeCell ref="A5:A19"/>
    <mergeCell ref="A20:A34"/>
    <mergeCell ref="A35:A4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통합</vt:lpstr>
      <vt:lpstr>시나리오별 결과</vt:lpstr>
      <vt:lpstr>시나리오별 조건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OhYosep</dc:creator>
  <cp:lastModifiedBy>민성 심</cp:lastModifiedBy>
  <dcterms:created xsi:type="dcterms:W3CDTF">2024-11-05T07:20:48Z</dcterms:created>
  <dcterms:modified xsi:type="dcterms:W3CDTF">2025-11-17T05:20:09Z</dcterms:modified>
</cp:coreProperties>
</file>